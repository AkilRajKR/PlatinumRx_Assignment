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xt\Data_Analyst_Assignment\Spreadsheets\"/>
    </mc:Choice>
  </mc:AlternateContent>
  <xr:revisionPtr revIDLastSave="0" documentId="13_ncr:1_{F0A0AA0D-05FD-4F50-ADB0-B58572FED36F}" xr6:coauthVersionLast="36" xr6:coauthVersionMax="36" xr10:uidLastSave="{00000000-0000-0000-0000-000000000000}"/>
  <bookViews>
    <workbookView xWindow="0" yWindow="0" windowWidth="23040" windowHeight="9072" xr2:uid="{CFDA2D29-7F7E-400B-85A9-42F52D404F3D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1" l="1"/>
  <c r="D3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D3" i="2" l="1"/>
  <c r="D9" i="2"/>
  <c r="D4" i="2"/>
  <c r="D5" i="2"/>
  <c r="D6" i="2"/>
  <c r="D7" i="2"/>
  <c r="D8" i="2"/>
  <c r="D2" i="2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<sst xmlns="http://schemas.openxmlformats.org/spreadsheetml/2006/main" count="81" uniqueCount="55">
  <si>
    <t>ticket_id</t>
  </si>
  <si>
    <t>created_at</t>
  </si>
  <si>
    <t>closed_at</t>
  </si>
  <si>
    <t>outlet_id</t>
  </si>
  <si>
    <t>cms_id</t>
  </si>
  <si>
    <t>feedback_at</t>
  </si>
  <si>
    <t>feedback_rating</t>
  </si>
  <si>
    <t>ticket_created_at</t>
  </si>
  <si>
    <t>TKT1001</t>
  </si>
  <si>
    <t>OUT001</t>
  </si>
  <si>
    <t>CMS001</t>
  </si>
  <si>
    <t>TKT1002</t>
  </si>
  <si>
    <t>OUT002</t>
  </si>
  <si>
    <t>CMS002</t>
  </si>
  <si>
    <t>TKT1003</t>
  </si>
  <si>
    <t>CMS003</t>
  </si>
  <si>
    <t>TKT1004</t>
  </si>
  <si>
    <t>OUT003</t>
  </si>
  <si>
    <t>CMS004</t>
  </si>
  <si>
    <t>TKT1005</t>
  </si>
  <si>
    <t>CMS005</t>
  </si>
  <si>
    <t>TKT1006</t>
  </si>
  <si>
    <t>CMS006</t>
  </si>
  <si>
    <t>TKT1007</t>
  </si>
  <si>
    <t>CMS007</t>
  </si>
  <si>
    <t>TKT1008</t>
  </si>
  <si>
    <t>CMS008</t>
  </si>
  <si>
    <t>same_day</t>
  </si>
  <si>
    <t>same_hour</t>
  </si>
  <si>
    <t>Same Day Count</t>
  </si>
  <si>
    <t>Same Hour Count</t>
  </si>
  <si>
    <t>TKT1009</t>
  </si>
  <si>
    <t>CMS009</t>
  </si>
  <si>
    <t>TKT1010</t>
  </si>
  <si>
    <t>CMS010</t>
  </si>
  <si>
    <t>TKT1011</t>
  </si>
  <si>
    <t>CMS011</t>
  </si>
  <si>
    <t>TKT1012</t>
  </si>
  <si>
    <t>CMS012</t>
  </si>
  <si>
    <t>TKT1013</t>
  </si>
  <si>
    <t>CMS013</t>
  </si>
  <si>
    <t>TKT1014</t>
  </si>
  <si>
    <t>CMS014</t>
  </si>
  <si>
    <t>TKT1015</t>
  </si>
  <si>
    <t>CMS015</t>
  </si>
  <si>
    <t>TKT1016</t>
  </si>
  <si>
    <t>CMS016</t>
  </si>
  <si>
    <t>TKT1017</t>
  </si>
  <si>
    <t>CMS017</t>
  </si>
  <si>
    <t>TKT1018</t>
  </si>
  <si>
    <t>CMS018</t>
  </si>
  <si>
    <t>TKT1019</t>
  </si>
  <si>
    <t>CMS019</t>
  </si>
  <si>
    <t>TKT1020</t>
  </si>
  <si>
    <t>CMS020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</si>
</sst>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0" xfId="0" applyFont="1"/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805F-7944-40B3-B256-4D645CA0A2CE}">
  <dimension ref="A1:G30"/>
  <sheetViews>
    <sheetView tabSelected="1" topLeftCell="A3" workbookViewId="0">
      <selection activeCell="G27" sqref="G27"/>
    </sheetView>
  </sheetViews>
  <sheetFormatPr defaultRowHeight="14.4" x14ac:dyDescent="0.3"/>
  <cols>
    <col min="1" max="1" width="8.21875" bestFit="1" customWidth="1"/>
    <col min="2" max="2" width="15.44140625" bestFit="1" customWidth="1"/>
    <col min="3" max="3" width="18.21875" bestFit="1" customWidth="1"/>
    <col min="4" max="4" width="8.5546875" bestFit="1" customWidth="1"/>
    <col min="5" max="5" width="7.6640625" bestFit="1" customWidth="1"/>
    <col min="6" max="6" width="9.5546875" bestFit="1" customWidth="1"/>
    <col min="7" max="7" width="10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28</v>
      </c>
    </row>
    <row r="2" spans="1:7" x14ac:dyDescent="0.3">
      <c r="A2" s="2" t="s">
        <v>8</v>
      </c>
      <c r="B2" s="3">
        <v>44427.385416666664</v>
      </c>
      <c r="C2" s="3">
        <v>44427.40625</v>
      </c>
      <c r="D2" s="2" t="s">
        <v>9</v>
      </c>
      <c r="E2" s="2" t="s">
        <v>10</v>
      </c>
      <c r="F2" t="str">
        <f>IF(INT(B2)=INT(C2),"Yes","No")</f>
        <v>Yes</v>
      </c>
      <c r="G2" t="str">
        <f>IF(INT(B2*24)=INT(C2*24),"Yes","No")</f>
        <v>Yes</v>
      </c>
    </row>
    <row r="3" spans="1:7" x14ac:dyDescent="0.3">
      <c r="A3" s="2" t="s">
        <v>11</v>
      </c>
      <c r="B3" s="3">
        <v>44427.479166666664</v>
      </c>
      <c r="C3" s="3">
        <v>44427.506944444445</v>
      </c>
      <c r="D3" s="2" t="s">
        <v>9</v>
      </c>
      <c r="E3" s="2" t="s">
        <v>13</v>
      </c>
      <c r="F3" t="str">
        <f t="shared" ref="F3:F21" si="0">IF(INT(B3)=INT(C3),"Yes","No")</f>
        <v>Yes</v>
      </c>
      <c r="G3" t="str">
        <f t="shared" ref="G3:G21" si="1">IF(INT(B3*24)=INT(C3*24),"Yes","No")</f>
        <v>No</v>
      </c>
    </row>
    <row r="4" spans="1:7" x14ac:dyDescent="0.3">
      <c r="A4" s="2" t="s">
        <v>14</v>
      </c>
      <c r="B4" s="3">
        <v>44428.416666666664</v>
      </c>
      <c r="C4" s="3">
        <v>44428.430555555555</v>
      </c>
      <c r="D4" s="2" t="s">
        <v>9</v>
      </c>
      <c r="E4" s="2" t="s">
        <v>15</v>
      </c>
      <c r="F4" t="str">
        <f t="shared" si="0"/>
        <v>Yes</v>
      </c>
      <c r="G4" t="str">
        <f t="shared" si="1"/>
        <v>Yes</v>
      </c>
    </row>
    <row r="5" spans="1:7" x14ac:dyDescent="0.3">
      <c r="A5" s="2" t="s">
        <v>16</v>
      </c>
      <c r="B5" s="3">
        <v>44428.590277777781</v>
      </c>
      <c r="C5" s="3">
        <v>44428.618055555555</v>
      </c>
      <c r="D5" s="2" t="s">
        <v>9</v>
      </c>
      <c r="E5" s="2" t="s">
        <v>18</v>
      </c>
      <c r="F5" t="str">
        <f t="shared" si="0"/>
        <v>Yes</v>
      </c>
      <c r="G5" t="str">
        <f t="shared" si="1"/>
        <v>Yes</v>
      </c>
    </row>
    <row r="6" spans="1:7" x14ac:dyDescent="0.3">
      <c r="A6" s="2" t="s">
        <v>19</v>
      </c>
      <c r="B6" s="3">
        <v>44429.364583333336</v>
      </c>
      <c r="C6" s="3">
        <v>44429.395833333336</v>
      </c>
      <c r="D6" s="2" t="s">
        <v>9</v>
      </c>
      <c r="E6" s="2" t="s">
        <v>20</v>
      </c>
      <c r="F6" t="str">
        <f t="shared" si="0"/>
        <v>Yes</v>
      </c>
      <c r="G6" t="str">
        <f t="shared" si="1"/>
        <v>No</v>
      </c>
    </row>
    <row r="7" spans="1:7" x14ac:dyDescent="0.3">
      <c r="A7" s="2" t="s">
        <v>21</v>
      </c>
      <c r="B7" s="3">
        <v>44429.680555555555</v>
      </c>
      <c r="C7" s="3">
        <v>44430.416666666664</v>
      </c>
      <c r="D7" s="2" t="s">
        <v>9</v>
      </c>
      <c r="E7" s="2" t="s">
        <v>22</v>
      </c>
      <c r="F7" t="str">
        <f t="shared" si="0"/>
        <v>No</v>
      </c>
      <c r="G7" t="str">
        <f t="shared" si="1"/>
        <v>No</v>
      </c>
    </row>
    <row r="8" spans="1:7" x14ac:dyDescent="0.3">
      <c r="A8" s="2" t="s">
        <v>23</v>
      </c>
      <c r="B8" s="3">
        <v>44430.395833333336</v>
      </c>
      <c r="C8" s="3">
        <v>44430.409722222219</v>
      </c>
      <c r="D8" s="2" t="s">
        <v>12</v>
      </c>
      <c r="E8" s="2" t="s">
        <v>24</v>
      </c>
      <c r="F8" t="str">
        <f t="shared" si="0"/>
        <v>Yes</v>
      </c>
      <c r="G8" t="str">
        <f t="shared" si="1"/>
        <v>Yes</v>
      </c>
    </row>
    <row r="9" spans="1:7" x14ac:dyDescent="0.3">
      <c r="A9" s="2" t="s">
        <v>25</v>
      </c>
      <c r="B9" s="3">
        <v>44430.552083333336</v>
      </c>
      <c r="C9" s="3">
        <v>44430.666666666664</v>
      </c>
      <c r="D9" s="2" t="s">
        <v>12</v>
      </c>
      <c r="E9" s="2" t="s">
        <v>26</v>
      </c>
      <c r="F9" t="str">
        <f t="shared" si="0"/>
        <v>Yes</v>
      </c>
      <c r="G9" t="str">
        <f t="shared" si="1"/>
        <v>No</v>
      </c>
    </row>
    <row r="10" spans="1:7" x14ac:dyDescent="0.3">
      <c r="A10" s="2" t="s">
        <v>31</v>
      </c>
      <c r="B10" s="3">
        <v>44431.416666666664</v>
      </c>
      <c r="C10" s="3">
        <v>44431.5</v>
      </c>
      <c r="D10" s="2" t="s">
        <v>12</v>
      </c>
      <c r="E10" s="2" t="s">
        <v>32</v>
      </c>
      <c r="F10" t="str">
        <f t="shared" si="0"/>
        <v>Yes</v>
      </c>
      <c r="G10" t="str">
        <f t="shared" si="1"/>
        <v>No</v>
      </c>
    </row>
    <row r="11" spans="1:7" x14ac:dyDescent="0.3">
      <c r="A11" s="2" t="s">
        <v>33</v>
      </c>
      <c r="B11" s="3">
        <v>44431.604166666664</v>
      </c>
      <c r="C11" s="3">
        <v>44432.416666666664</v>
      </c>
      <c r="D11" s="2" t="s">
        <v>12</v>
      </c>
      <c r="E11" s="2" t="s">
        <v>34</v>
      </c>
      <c r="F11" t="str">
        <f t="shared" si="0"/>
        <v>No</v>
      </c>
      <c r="G11" t="str">
        <f t="shared" si="1"/>
        <v>No</v>
      </c>
    </row>
    <row r="12" spans="1:7" x14ac:dyDescent="0.3">
      <c r="A12" s="2" t="s">
        <v>35</v>
      </c>
      <c r="B12" s="3">
        <v>44432.375</v>
      </c>
      <c r="C12" s="3">
        <v>44432.402777777781</v>
      </c>
      <c r="D12" s="2" t="s">
        <v>17</v>
      </c>
      <c r="E12" s="2" t="s">
        <v>36</v>
      </c>
      <c r="F12" t="str">
        <f t="shared" si="0"/>
        <v>Yes</v>
      </c>
      <c r="G12" t="str">
        <f t="shared" si="1"/>
        <v>Yes</v>
      </c>
    </row>
    <row r="13" spans="1:7" x14ac:dyDescent="0.3">
      <c r="A13" s="2" t="s">
        <v>37</v>
      </c>
      <c r="B13" s="3">
        <v>44432.46875</v>
      </c>
      <c r="C13" s="3">
        <v>44432.541666666664</v>
      </c>
      <c r="D13" s="2" t="s">
        <v>17</v>
      </c>
      <c r="E13" s="2" t="s">
        <v>38</v>
      </c>
      <c r="F13" t="str">
        <f t="shared" si="0"/>
        <v>Yes</v>
      </c>
      <c r="G13" t="str">
        <f t="shared" si="1"/>
        <v>No</v>
      </c>
    </row>
    <row r="14" spans="1:7" x14ac:dyDescent="0.3">
      <c r="A14" s="2" t="s">
        <v>39</v>
      </c>
      <c r="B14" s="3">
        <v>44433.4375</v>
      </c>
      <c r="C14" s="3">
        <v>44434.458333333336</v>
      </c>
      <c r="D14" s="2" t="s">
        <v>17</v>
      </c>
      <c r="E14" s="2" t="s">
        <v>40</v>
      </c>
      <c r="F14" t="str">
        <f t="shared" si="0"/>
        <v>No</v>
      </c>
      <c r="G14" t="str">
        <f t="shared" si="1"/>
        <v>No</v>
      </c>
    </row>
    <row r="15" spans="1:7" x14ac:dyDescent="0.3">
      <c r="A15" s="2" t="s">
        <v>41</v>
      </c>
      <c r="B15" s="3">
        <v>44433.625</v>
      </c>
      <c r="C15" s="3">
        <v>44433.673611111109</v>
      </c>
      <c r="D15" s="2" t="s">
        <v>17</v>
      </c>
      <c r="E15" s="2" t="s">
        <v>42</v>
      </c>
      <c r="F15" t="str">
        <f t="shared" si="0"/>
        <v>Yes</v>
      </c>
      <c r="G15" t="str">
        <f t="shared" si="1"/>
        <v>No</v>
      </c>
    </row>
    <row r="16" spans="1:7" x14ac:dyDescent="0.3">
      <c r="A16" s="2" t="s">
        <v>43</v>
      </c>
      <c r="B16" s="3">
        <v>44434.354166666664</v>
      </c>
      <c r="C16" s="3">
        <v>44434.375</v>
      </c>
      <c r="D16" s="2" t="s">
        <v>9</v>
      </c>
      <c r="E16" s="2" t="s">
        <v>44</v>
      </c>
      <c r="F16" t="str">
        <f t="shared" si="0"/>
        <v>Yes</v>
      </c>
      <c r="G16" t="str">
        <f t="shared" si="1"/>
        <v>No</v>
      </c>
    </row>
    <row r="17" spans="1:7" x14ac:dyDescent="0.3">
      <c r="A17" s="2" t="s">
        <v>45</v>
      </c>
      <c r="B17" s="3">
        <v>44434.447916666664</v>
      </c>
      <c r="C17" s="3">
        <v>44434.520833333336</v>
      </c>
      <c r="D17" s="2" t="s">
        <v>9</v>
      </c>
      <c r="E17" s="2" t="s">
        <v>46</v>
      </c>
      <c r="F17" t="str">
        <f t="shared" si="0"/>
        <v>Yes</v>
      </c>
      <c r="G17" t="str">
        <f t="shared" si="1"/>
        <v>No</v>
      </c>
    </row>
    <row r="18" spans="1:7" x14ac:dyDescent="0.3">
      <c r="A18" s="2" t="s">
        <v>47</v>
      </c>
      <c r="B18" s="3">
        <v>44435.381944444445</v>
      </c>
      <c r="C18" s="3">
        <v>44435.409722222219</v>
      </c>
      <c r="D18" s="2" t="s">
        <v>12</v>
      </c>
      <c r="E18" s="2" t="s">
        <v>48</v>
      </c>
      <c r="F18" t="str">
        <f t="shared" si="0"/>
        <v>Yes</v>
      </c>
      <c r="G18" t="str">
        <f t="shared" si="1"/>
        <v>Yes</v>
      </c>
    </row>
    <row r="19" spans="1:7" x14ac:dyDescent="0.3">
      <c r="A19" s="2" t="s">
        <v>49</v>
      </c>
      <c r="B19" s="3">
        <v>44435.555555555555</v>
      </c>
      <c r="C19" s="3">
        <v>44435.583333333336</v>
      </c>
      <c r="D19" s="2" t="s">
        <v>12</v>
      </c>
      <c r="E19" s="2" t="s">
        <v>50</v>
      </c>
      <c r="F19" t="str">
        <f t="shared" si="0"/>
        <v>Yes</v>
      </c>
      <c r="G19" t="str">
        <f t="shared" si="1"/>
        <v>No</v>
      </c>
    </row>
    <row r="20" spans="1:7" x14ac:dyDescent="0.3">
      <c r="A20" s="2" t="s">
        <v>51</v>
      </c>
      <c r="B20" s="3">
        <v>44436.416666666664</v>
      </c>
      <c r="C20" s="3">
        <v>44436.479166666664</v>
      </c>
      <c r="D20" s="2" t="s">
        <v>17</v>
      </c>
      <c r="E20" s="2" t="s">
        <v>52</v>
      </c>
      <c r="F20" t="str">
        <f t="shared" si="0"/>
        <v>Yes</v>
      </c>
      <c r="G20" t="str">
        <f t="shared" si="1"/>
        <v>No</v>
      </c>
    </row>
    <row r="21" spans="1:7" x14ac:dyDescent="0.3">
      <c r="A21" s="2" t="s">
        <v>53</v>
      </c>
      <c r="B21" s="3">
        <v>44436.625</v>
      </c>
      <c r="C21" s="3">
        <v>44437.416666666664</v>
      </c>
      <c r="D21" s="2" t="s">
        <v>17</v>
      </c>
      <c r="E21" s="2" t="s">
        <v>54</v>
      </c>
      <c r="F21" t="str">
        <f t="shared" si="0"/>
        <v>No</v>
      </c>
      <c r="G21" t="str">
        <f t="shared" si="1"/>
        <v>No</v>
      </c>
    </row>
    <row r="29" spans="1:7" x14ac:dyDescent="0.3">
      <c r="C29" s="4" t="s">
        <v>29</v>
      </c>
      <c r="D29" s="4">
        <f>COUNTIFS(D2:D21,"OUT001",F2:F21,"*Yes*")</f>
        <v>7</v>
      </c>
    </row>
    <row r="30" spans="1:7" x14ac:dyDescent="0.3">
      <c r="C30" s="4" t="s">
        <v>30</v>
      </c>
      <c r="D30" s="4">
        <f>COUNTIFS(D2:D21,"OUT001",G2:G21,"Yes")</f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E6DD-06B6-440C-BBE0-E1D787BCE1A0}">
  <dimension ref="A1:D9"/>
  <sheetViews>
    <sheetView workbookViewId="0">
      <selection activeCell="B22" sqref="B22"/>
    </sheetView>
  </sheetViews>
  <sheetFormatPr defaultRowHeight="14.4" x14ac:dyDescent="0.3"/>
  <cols>
    <col min="1" max="1" width="7.6640625" bestFit="1" customWidth="1"/>
    <col min="2" max="2" width="15.44140625" bestFit="1" customWidth="1"/>
    <col min="3" max="3" width="14.77734375" bestFit="1" customWidth="1"/>
    <col min="4" max="4" width="24.6640625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s="2" t="s">
        <v>10</v>
      </c>
      <c r="B2" s="3">
        <v>44427.423611111109</v>
      </c>
      <c r="C2" s="2">
        <v>4</v>
      </c>
      <c r="D2" s="5">
        <f>INDEX(ticket!B:B, MATCH(A3, ticket!E:E, 0))</f>
        <v>44427.479166666664</v>
      </c>
    </row>
    <row r="3" spans="1:4" x14ac:dyDescent="0.3">
      <c r="A3" s="2" t="s">
        <v>13</v>
      </c>
      <c r="B3" s="3">
        <v>44427.666666666664</v>
      </c>
      <c r="C3" s="2">
        <v>5</v>
      </c>
      <c r="D3" s="5">
        <f>INDEX(ticket!B:B, MATCH(A4, ticket!E:E, 0))</f>
        <v>44428.416666666664</v>
      </c>
    </row>
    <row r="4" spans="1:4" x14ac:dyDescent="0.3">
      <c r="A4" s="2" t="s">
        <v>15</v>
      </c>
      <c r="B4" s="3">
        <v>44429.416666666664</v>
      </c>
      <c r="C4" s="2">
        <v>3</v>
      </c>
      <c r="D4" s="5">
        <f>INDEX(ticket!B:B, MATCH(A5, ticket!E:E, 0))</f>
        <v>44428.590277777781</v>
      </c>
    </row>
    <row r="5" spans="1:4" x14ac:dyDescent="0.3">
      <c r="A5" s="2" t="s">
        <v>18</v>
      </c>
      <c r="B5" s="3">
        <v>44428.625</v>
      </c>
      <c r="C5" s="2">
        <v>4</v>
      </c>
      <c r="D5" s="5">
        <f>INDEX(ticket!B:B, MATCH(A6, ticket!E:E, 0))</f>
        <v>44429.364583333336</v>
      </c>
    </row>
    <row r="6" spans="1:4" x14ac:dyDescent="0.3">
      <c r="A6" s="2" t="s">
        <v>20</v>
      </c>
      <c r="B6" s="3">
        <v>44429.395833333336</v>
      </c>
      <c r="C6" s="2">
        <v>5</v>
      </c>
      <c r="D6" s="5">
        <f>INDEX(ticket!B:B, MATCH(A7, ticket!E:E, 0))</f>
        <v>44429.680555555555</v>
      </c>
    </row>
    <row r="7" spans="1:4" x14ac:dyDescent="0.3">
      <c r="A7" s="2" t="s">
        <v>22</v>
      </c>
      <c r="B7" s="3">
        <v>44429.770833333336</v>
      </c>
      <c r="C7" s="2">
        <v>4</v>
      </c>
      <c r="D7" s="5">
        <f>INDEX(ticket!B:B, MATCH(A8, ticket!E:E, 0))</f>
        <v>44430.395833333336</v>
      </c>
    </row>
    <row r="8" spans="1:4" x14ac:dyDescent="0.3">
      <c r="A8" s="2" t="s">
        <v>24</v>
      </c>
      <c r="B8" s="3">
        <v>44430.416666666664</v>
      </c>
      <c r="C8" s="2">
        <v>3</v>
      </c>
      <c r="D8" s="5">
        <f>INDEX(ticket!B:B, MATCH(A9, ticket!E:E, 0))</f>
        <v>44430.552083333336</v>
      </c>
    </row>
    <row r="9" spans="1:4" x14ac:dyDescent="0.3">
      <c r="A9" s="2" t="s">
        <v>26</v>
      </c>
      <c r="B9" s="3">
        <v>44430.6875</v>
      </c>
      <c r="C9" s="2">
        <v>5</v>
      </c>
      <c r="D9" s="5">
        <f>INDEX(ticket!B:B, MATCH(A9, ticket!E:E, 0))</f>
        <v>44430.552083333336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2026-04-08T18:00:58Z</dcterms:created>
  <dcterms:modified xsi:type="dcterms:W3CDTF">2026-04-08T19:55:10Z</dcterms:modified>
</cp:coreProperties>
</file>